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bookViews>
    <workbookView xWindow="0" yWindow="0" windowWidth="30936" windowHeight="10140"/>
  </bookViews>
  <sheets>
    <sheet name="Examples" sheetId="2" r:id="rId1"/>
  </sheets>
  <functionGroups builtInGroupCount="18"/>
  <definedNames>
    <definedName name="_xlnm.Print_Area" localSheetId="0">Examples!$A$1:$H$130</definedName>
  </definedNames>
  <calcPr calcId="162913"/>
  <extLst>
    <ext xmlns:x14="http://schemas.microsoft.com/office/spreadsheetml/2009/9/main" uri="{8193D73E-4604-4355-AFF4-8A2333D13BE4}">
      <x14:definedNames>
        <x14:definedName name="RSSO">
          <x14:argumentDescriptions count="4">
            <x14:argumentDescription index="0">Positive loan amount, or a row/column of cash flows: receipts positive; payments and fees negative.</x14:argumentDescription>
            <x14:argumentDescription index="1">Positive total repayment in simple mode, or matching Excel dates for cash-flow mode.</x14:argumentDescription>
            <x14:argumentDescription index="2">Positive whole days for simple mode. Leave blank for dated cash flows; a text basis is also accepted here.</x14:argumentDescription>
            <x14:argumentDescription index="3">365 or 366 for fixed years; ACT/ACT or legacy LEGAL for calendar years. Default LEGAL; simple mode defaults to 365.</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F50" i="2" l="1"/>
  <c r="F99" i="2"/>
  <c r="F89" i="2"/>
  <c r="F81" i="2"/>
  <c r="F77" i="2"/>
  <c r="F65" i="2"/>
  <c r="F45" i="2"/>
  <c r="F35" i="2"/>
  <c r="F25" i="2"/>
  <c r="F15" i="2"/>
</calcChain>
</file>

<file path=xl/comments1.xml><?xml version="1.0" encoding="utf-8"?>
<comments xmlns="http://schemas.openxmlformats.org/spreadsheetml/2006/main">
  <authors>
    <author>RSSO contributors</author>
  </authors>
  <commentList>
    <comment ref="F15" authorId="0" shapeId="0">
      <text>
        <r>
          <rPr>
            <b/>
            <sz val="9"/>
            <color indexed="81"/>
            <rFont val="Tahoma"/>
            <family val="2"/>
          </rPr>
          <t>Edit the blue input cells to recalculate. =RSSO(B15,B16,B17)</t>
        </r>
      </text>
    </comment>
    <comment ref="F25" authorId="0" shapeId="0">
      <text>
        <r>
          <rPr>
            <b/>
            <sz val="9"/>
            <color indexed="81"/>
            <rFont val="Tahoma"/>
            <family val="2"/>
          </rPr>
          <t>Edit the blue input cells to recalculate. =RSSO(B25:B26,A25:A26,,"365")</t>
        </r>
      </text>
    </comment>
    <comment ref="F35" authorId="0" shapeId="0">
      <text>
        <r>
          <rPr>
            <b/>
            <sz val="9"/>
            <color indexed="81"/>
            <rFont val="Tahoma"/>
            <family val="2"/>
          </rPr>
          <t>Edit the blue input cells to recalculate. =RSSO(B35:B37,A35:A37,,"365")</t>
        </r>
      </text>
    </comment>
    <comment ref="F45" authorId="0" shapeId="0">
      <text>
        <r>
          <rPr>
            <b/>
            <sz val="9"/>
            <color indexed="81"/>
            <rFont val="Tahoma"/>
            <family val="2"/>
          </rPr>
          <t>Edit the blue input cells to recalculate. =RSSO(B45:B57,A45:A57,,"365")</t>
        </r>
      </text>
    </comment>
    <comment ref="F50" authorId="0" shapeId="0">
      <text>
        <r>
          <rPr>
            <b/>
            <sz val="9"/>
            <color indexed="81"/>
            <rFont val="Tahoma"/>
            <family val="2"/>
          </rPr>
          <t>Edit the blue input cells to recalculate. =XIRR(B45:B57,A45:A57)</t>
        </r>
      </text>
    </comment>
    <comment ref="F65" authorId="0" shapeId="0">
      <text>
        <r>
          <rPr>
            <b/>
            <sz val="9"/>
            <color indexed="81"/>
            <rFont val="Tahoma"/>
            <family val="2"/>
          </rPr>
          <t>Edit the blue input cells to recalculate. =RSSO(B65:B68,A65:A68,"365")</t>
        </r>
      </text>
    </comment>
    <comment ref="F77" authorId="0" shapeId="0">
      <text>
        <r>
          <rPr>
            <b/>
            <sz val="9"/>
            <color indexed="81"/>
            <rFont val="Tahoma"/>
            <family val="2"/>
          </rPr>
          <t>Edit the blue input cells to recalculate. =RSSO(B77:B78,A77:A78,,"ACT/ACT")</t>
        </r>
      </text>
    </comment>
    <comment ref="F81" authorId="0" shapeId="0">
      <text>
        <r>
          <rPr>
            <b/>
            <sz val="9"/>
            <color indexed="81"/>
            <rFont val="Tahoma"/>
            <family val="2"/>
          </rPr>
          <t>Edit the blue input cells to recalculate. =RSSO(B77:B78,A77:A78,,"365")</t>
        </r>
      </text>
    </comment>
    <comment ref="F89" authorId="0" shapeId="0">
      <text>
        <r>
          <rPr>
            <b/>
            <sz val="9"/>
            <color indexed="81"/>
            <rFont val="Tahoma"/>
            <family val="2"/>
          </rPr>
          <t>Edit the blue input cells to recalculate. =RSSO(B89:B90,A89:A90)</t>
        </r>
      </text>
    </comment>
    <comment ref="F99" authorId="0" shapeId="0">
      <text>
        <r>
          <rPr>
            <b/>
            <sz val="9"/>
            <color indexed="81"/>
            <rFont val="Tahoma"/>
            <family val="2"/>
          </rPr>
          <t>Edit the blue input cells to recalculate. =RSSO(B99:B100,A99:A100,,"365")</t>
        </r>
      </text>
    </comment>
  </commentList>
</comments>
</file>

<file path=xl/sharedStrings.xml><?xml version="1.0" encoding="utf-8"?>
<sst xmlns="http://schemas.openxmlformats.org/spreadsheetml/2006/main" count="109" uniqueCount="79">
  <si>
    <t>RSSO | loan rate examples</t>
  </si>
  <si>
    <t>Edit blue inputs. Green cells calculate the annual effective rate.</t>
  </si>
  <si>
    <t>Simple: =RSSO(LoanAmount, TotalDue, Days, [Basis])
Dated: =RSSO(CashFlows, Dates, , [Basis])</t>
  </si>
  <si>
    <t>Type =RSSO( for argument tooltips when the bundled help add-in is loaded. Ctrl+A or the fx button opens standard argument help. Enable workbook macros for calculations.</t>
  </si>
  <si>
    <t>Use positive amounts for money received and negative amounts for repayments and fees. Dates must be real Excel dates. Results are decimals formatted as percentages. Some Excel locales use semicolons instead of commas.</t>
  </si>
  <si>
    <t>1  |  One repayment after 30 days</t>
  </si>
  <si>
    <t>Loan received</t>
  </si>
  <si>
    <t>Total repaid</t>
  </si>
  <si>
    <t>Days</t>
  </si>
  <si>
    <t>Annual rate</t>
  </si>
  <si>
    <t>=RSSO(B15,B16,B17)</t>
  </si>
  <si>
    <t>The total repayment includes every cost paid at maturity. This example uses a 365-day year. A 10% cost over 30 days produces a much larger annual rate.</t>
  </si>
  <si>
    <t>2  |  Dated loan with one repayment</t>
  </si>
  <si>
    <t>Date</t>
  </si>
  <si>
    <t>Cash flow</t>
  </si>
  <si>
    <t>Meaning</t>
  </si>
  <si>
    <t>Repayment</t>
  </si>
  <si>
    <t>=RSSO(B25:B26,A25:A26,,"365")</t>
  </si>
  <si>
    <t>Expected result: 10.00%. Leave Days empty when using ranges. The fixed 365 basis uses the same day-count convention as Excel XIRR.</t>
  </si>
  <si>
    <t>3  |  Upfront fee paid on the drawdown date</t>
  </si>
  <si>
    <t>Gross loan received</t>
  </si>
  <si>
    <t>Fee paid upfront</t>
  </si>
  <si>
    <t>Final repayment</t>
  </si>
  <si>
    <t>=RSSO(B35:B37,A35:A37,,"365")</t>
  </si>
  <si>
    <t>Expected result: 15.79%. The customer receives a net 950 on day one. Enter the fee separately or use the net receipt; do not count the same fee twice.</t>
  </si>
  <si>
    <t>4  |  Twelve monthly repayments</t>
  </si>
  <si>
    <t>Instalment 1</t>
  </si>
  <si>
    <t>Instalment 2</t>
  </si>
  <si>
    <t>Instalment 3</t>
  </si>
  <si>
    <t>Instalment 4</t>
  </si>
  <si>
    <t>Instalment 5</t>
  </si>
  <si>
    <t>Instalment 6</t>
  </si>
  <si>
    <t>Instalment 7</t>
  </si>
  <si>
    <t>Instalment 8</t>
  </si>
  <si>
    <t>Instalment 9</t>
  </si>
  <si>
    <t>Instalment 10</t>
  </si>
  <si>
    <t>Instalment 11</t>
  </si>
  <si>
    <t>Instalment 12</t>
  </si>
  <si>
    <t>=RSSO(B45:B57,A45:A57,,"365")</t>
  </si>
  <si>
    <t>Excel XIRR check</t>
  </si>
  <si>
    <t>=XIRR(B45:B57,A45:A57)</t>
  </si>
  <si>
    <t>The two rates should agree. Payment dates matter, so enter the actual schedule rather than replacing it with the total amount paid.</t>
  </si>
  <si>
    <t>The 365 basis is demonstrated here. Use an explicitly agreed day-count convention for your calculation; see the basis notes below.</t>
  </si>
  <si>
    <t>5  |  Two drawdowns before repayments begin</t>
  </si>
  <si>
    <t>First drawdown</t>
  </si>
  <si>
    <t>Second drawdown</t>
  </si>
  <si>
    <t>First repayment</t>
  </si>
  <si>
    <t>=RSSO(B65:B68,A65:A68,"365")</t>
  </si>
  <si>
    <t>A text basis may also be supplied as the third argument in dated mode. Net receipts must precede net repayments; alternating borrowing and repayment schedules return #NUM! because a unique rate is not assured.</t>
  </si>
  <si>
    <t>6  |  Leap year: compare ACT/ACT and fixed 365</t>
  </si>
  <si>
    <t>366 days later</t>
  </si>
  <si>
    <t>ACT/ACT</t>
  </si>
  <si>
    <t>=RSSO(B77:B78,A77:A78,,"ACT/ACT")</t>
  </si>
  <si>
    <t>Fixed 365</t>
  </si>
  <si>
    <t>=RSSO(B77:B78,A77:A78,,"365")</t>
  </si>
  <si>
    <t>ACT/ACT gives exactly 10.00% for this calendar year. Fixed 365 gives approximately 9.97%.</t>
  </si>
  <si>
    <t>7  |  Zero-cost loan</t>
  </si>
  <si>
    <t>Equal repayment</t>
  </si>
  <si>
    <t>=RSSO(B89:B90,A89:A90)</t>
  </si>
  <si>
    <t>Expected result: 0.00%. The default in dated mode is the legacy LEGAL basis, which is equivalent to ACT/ACT.</t>
  </si>
  <si>
    <t>8  |  Repayment below the amount received</t>
  </si>
  <si>
    <t>Lower repayment</t>
  </si>
  <si>
    <t>=RSSO(B99:B100,A99:A100,,"365")</t>
  </si>
  <si>
    <t>Expected result: -10.00%. Negative annual rates are supported down to the numerical precision limit above -100%.</t>
  </si>
  <si>
    <t>Basis and input rules</t>
  </si>
  <si>
    <t>365 / 366</t>
  </si>
  <si>
    <t>Fixed year length. Dated time fraction = elapsed calendar days / the selected basis.</t>
  </si>
  <si>
    <t>ACT/ACT / LEGAL</t>
  </si>
  <si>
    <t>Split elapsed days at each 1 January and divide each segment by 365 or 366. LEGAL is a legacy name, not a guarantee of statutory RRSO compliance.</t>
  </si>
  <si>
    <t>Simple-mode default</t>
  </si>
  <si>
    <t>Without dates, ACT/ACT and LEGAL use 365. Select 366 explicitly if needed. Days must be a positive whole number.</t>
  </si>
  <si>
    <t>Dated inputs</t>
  </si>
  <si>
    <t>Use matching single-column or single-row ranges. Real Excel dates only; no date text or time-of-day. Completely blank pairs are ignored; partial pairs are invalid.</t>
  </si>
  <si>
    <t>Cash-flow order</t>
  </si>
  <si>
    <t>Rows may be unsorted. Same-date entries are combined. Non-zero net receipts must precede net repayments. At least two different dates are required.</t>
  </si>
  <si>
    <t>Errors</t>
  </si>
  <si>
    <t>#VALUE!: invalid input or basis. #REF!: incompatible ranges. #NUM!: invalid amounts/days, unsupported sign pattern, or no representable rate. Source cell errors are preserved.</t>
  </si>
  <si>
    <t>Typing help</t>
  </si>
  <si>
    <t>Keep the help folder beside RSSO.xlsm. The Windows add-in loads for this Excel session when workbook macros run. If blocked, use Ctrl+A / fx; calculations do not depend on the add-in.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</si>
</sst>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yyyy\-mm\-dd"/>
    <numFmt numFmtId="165" formatCode="#\,##0.00;[Red]\(#\,##0.00\)"/>
  </numFmts>
  <fonts count="11" x14ac:knownFonts="1">
    <font>
      <sz val="11"/>
      <color theme="1"/>
      <name val="Calibri"/>
      <family val="2"/>
      <charset val="238"/>
      <scheme val="minor"/>
    </font>
    <font>
      <sz val="11"/>
      <color rgb="FF243449"/>
      <name val="Calibri"/>
      <family val="2"/>
      <charset val="238"/>
      <scheme val="minor"/>
    </font>
    <font>
      <b/>
      <sz val="24"/>
      <color rgb="FFFFFFFF"/>
      <name val="Calibri"/>
      <family val="2"/>
      <scheme val="minor"/>
    </font>
    <font>
      <sz val="12"/>
      <color rgb="FF243449"/>
      <name val="Calibri"/>
      <family val="2"/>
      <scheme val="minor"/>
    </font>
    <font>
      <b/>
      <sz val="12"/>
      <color rgb="FF243449"/>
      <name val="Calibri"/>
      <family val="2"/>
      <scheme val="minor"/>
    </font>
    <font>
      <sz val="11"/>
      <color rgb="FF243449"/>
      <name val="Calibri"/>
      <family val="2"/>
      <scheme val="minor"/>
    </font>
    <font>
      <b/>
      <sz val="13"/>
      <color rgb="FFFFFFFF"/>
      <name val="Calibri"/>
      <family val="2"/>
      <scheme val="minor"/>
    </font>
    <font>
      <sz val="11"/>
      <color rgb="FF1566AD"/>
      <name val="Calibri"/>
      <family val="2"/>
      <charset val="238"/>
      <scheme val="minor"/>
    </font>
    <font>
      <b/>
      <sz val="16"/>
      <color rgb="FF145938"/>
      <name val="Calibri"/>
      <family val="2"/>
      <scheme val="minor"/>
    </font>
    <font>
      <b/>
      <sz val="9"/>
      <color indexed="81"/>
      <name val="Tahoma"/>
      <family val="2"/>
    </font>
    <font>
      <b/>
      <sz val="11"/>
      <color rgb="FF243449"/>
      <name val="Calibri"/>
      <family val="2"/>
      <scheme val="minor"/>
    </font>
  </fonts>
  <fills count="6">
    <fill>
      <patternFill patternType="none"/>
    </fill>
    <fill>
      <patternFill patternType="gray125"/>
    </fill>
    <fill>
      <patternFill patternType="solid">
        <fgColor rgb="FF193B56"/>
        <bgColor indexed="64"/>
      </patternFill>
    </fill>
    <fill>
      <patternFill patternType="solid">
        <fgColor rgb="FFEDF5FC"/>
        <bgColor indexed="64"/>
      </patternFill>
    </fill>
    <fill>
      <patternFill patternType="solid">
        <fgColor rgb="FFDDF0E5"/>
        <bgColor indexed="64"/>
      </patternFill>
    </fill>
    <fill>
      <patternFill patternType="solid">
        <fgColor rgb="FFE4ECF2"/>
        <bgColor indexed="64"/>
      </patternFill>
    </fill>
  </fills>
  <borders count="1">
    <border>
      <left/>
      <right/>
      <top/>
      <bottom/>
      <diagonal/>
    </border>
  </borders>
  <cellStyleXfs count="1">
    <xf numFmtId="0" fontId="0" fillId="0" borderId="0"/>
  </cellStyleXfs>
  <cellXfs count="13">
    <xf numFmtId="0" fontId="0" fillId="0" borderId="0" xfId="0"/>
    <xf numFmtId="0" fontId="1" fillId="0" borderId="0" xfId="0" applyFont="1"/>
    <xf numFmtId="0" fontId="7" fillId="3" borderId="0" xfId="0" applyFont="1" applyFill="1"/>
    <xf numFmtId="10" fontId="8" fillId="4" borderId="0" xfId="0" applyNumberFormat="1" applyFont="1" applyFill="1"/>
    <xf numFmtId="0" fontId="10" fillId="5" borderId="0" xfId="0" applyFont="1" applyFill="1"/>
    <xf numFmtId="164" fontId="7" fillId="3" borderId="0" xfId="0" applyNumberFormat="1" applyFont="1" applyFill="1"/>
    <xf numFmtId="165" fontId="7" fillId="3" borderId="0" xfId="0" applyNumberFormat="1" applyFont="1" applyFill="1"/>
    <xf numFmtId="49" fontId="10" fillId="3" borderId="0" xfId="0" applyNumberFormat="1" applyFont="1" applyFill="1" applyAlignment="1">
      <alignment vertical="center" wrapText="1"/>
    </xf>
    <xf numFmtId="49" fontId="5" fillId="0" borderId="0" xfId="0" applyNumberFormat="1" applyFont="1" applyAlignment="1">
      <alignment vertical="center" wrapText="1"/>
    </xf>
    <xf numFmtId="49" fontId="6" fillId="2" borderId="0" xfId="0" applyNumberFormat="1" applyFont="1" applyFill="1" applyAlignment="1">
      <alignment vertical="center" wrapText="1"/>
    </xf>
    <xf numFmtId="49" fontId="2" fillId="2" borderId="0" xfId="0" applyNumberFormat="1" applyFont="1" applyFill="1" applyAlignment="1">
      <alignment vertical="center" wrapText="1"/>
    </xf>
    <xf numFmtId="49" fontId="3" fillId="0" borderId="0" xfId="0" applyNumberFormat="1" applyFont="1" applyAlignment="1">
      <alignment vertical="center" wrapText="1"/>
    </xf>
    <xf numFmtId="49" fontId="4" fillId="3" borderId="0" xfId="0" applyNumberFormat="1" applyFont="1" applyFill="1" applyAlignment="1">
      <alignment vertical="center"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7" Type="http://schemas.microsoft.com/office/2006/relationships/vbaProject" Target="vbaProject.bin"/><Relationship Id="rId2"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customXml" Target="../customXml/item1.xml"/><Relationship Id="rId5" Type="http://schemas.openxmlformats.org/officeDocument/2006/relationships/calcChain" Target="calcChain.xml"/><Relationship Id="rId4"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5</xdr:col>
      <xdr:colOff>0</xdr:colOff>
      <xdr:row>9</xdr:row>
      <xdr:rowOff>0</xdr:rowOff>
    </xdr:from>
    <xdr:to>
      <xdr:col>7</xdr:col>
      <xdr:colOff>287020</xdr:colOff>
      <xdr:row>10</xdr:row>
      <xdr:rowOff>88900</xdr:rowOff>
    </xdr:to>
    <xdr:sp macro="ShowRSSOHelp" textlink="">
      <xdr:nvSpPr>
        <xdr:cNvPr id="2" name="Rounded Rectangle 1"/>
        <xdr:cNvSpPr/>
      </xdr:nvSpPr>
      <xdr:spPr>
        <a:xfrm>
          <a:off x="6370320" y="2400300"/>
          <a:ext cx="2794000" cy="355600"/>
        </a:xfrm>
        <a:prstGeom prst="roundRect">
          <a:avLst/>
        </a:prstGeom>
        <a:solidFill>
          <a:srgbClr val="2379A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rgbClr val="FFFFFF"/>
              </a:solidFill>
            </a:rPr>
            <a:t>RSSO function help</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pageSetUpPr fitToPage="1"/>
  </sheetPr>
  <dimension ref="A1:H128"/>
  <sheetViews>
    <sheetView showGridLines="0" tabSelected="1" zoomScale="85" zoomScaleNormal="85" workbookViewId="0">
      <pane ySplit="12" topLeftCell="A13" activePane="bottomLeft" state="frozen"/>
      <selection pane="bottomLeft" sqref="A1:H2"/>
    </sheetView>
  </sheetViews>
  <sheetFormatPr defaultRowHeight="21" customHeight="1" x14ac:dyDescent="0.3"/>
  <cols>
    <col min="1" max="2" width="18.77734375" style="1" customWidth="1"/>
    <col min="3" max="3" width="29.77734375" style="1" customWidth="1"/>
    <col min="4" max="4" width="3.77734375" style="1" customWidth="1"/>
    <col min="5" max="5" width="21.77734375" style="1" customWidth="1"/>
    <col min="6" max="6" width="18.77734375" style="1" customWidth="1"/>
    <col min="7" max="8" width="17.77734375" style="1" customWidth="1"/>
    <col min="9" max="16384" width="8.88671875" style="1"/>
  </cols>
  <sheetData>
    <row r="1" spans="1:8" ht="21" customHeight="1" x14ac:dyDescent="0.3">
      <c r="A1" s="10" t="s">
        <v>0</v>
      </c>
      <c r="B1" s="10"/>
      <c r="C1" s="10"/>
      <c r="D1" s="10"/>
      <c r="E1" s="10"/>
      <c r="F1" s="10"/>
      <c r="G1" s="10"/>
      <c r="H1" s="10"/>
    </row>
    <row r="2" spans="1:8" ht="21" customHeight="1" x14ac:dyDescent="0.3">
      <c r="A2" s="10"/>
      <c r="B2" s="10"/>
      <c r="C2" s="10"/>
      <c r="D2" s="10"/>
      <c r="E2" s="10"/>
      <c r="F2" s="10"/>
      <c r="G2" s="10"/>
      <c r="H2" s="10"/>
    </row>
    <row r="3" spans="1:8" ht="21" customHeight="1" x14ac:dyDescent="0.3">
      <c r="A3" s="11" t="s">
        <v>1</v>
      </c>
      <c r="B3" s="11"/>
      <c r="C3" s="11"/>
      <c r="D3" s="11"/>
      <c r="E3" s="11"/>
      <c r="F3" s="11"/>
      <c r="G3" s="11"/>
      <c r="H3" s="11"/>
    </row>
    <row r="4" spans="1:8" ht="21" customHeight="1" x14ac:dyDescent="0.3">
      <c r="A4" s="12" t="s">
        <v>2</v>
      </c>
      <c r="B4" s="12"/>
      <c r="C4" s="12"/>
      <c r="D4" s="12"/>
      <c r="E4" s="12"/>
      <c r="F4" s="12"/>
      <c r="G4" s="12"/>
      <c r="H4" s="12"/>
    </row>
    <row r="5" spans="1:8" ht="21" customHeight="1" x14ac:dyDescent="0.3">
      <c r="A5" s="12"/>
      <c r="B5" s="12"/>
      <c r="C5" s="12"/>
      <c r="D5" s="12"/>
      <c r="E5" s="12"/>
      <c r="F5" s="12"/>
      <c r="G5" s="12"/>
      <c r="H5" s="12"/>
    </row>
    <row r="6" spans="1:8" ht="21" customHeight="1" x14ac:dyDescent="0.3">
      <c r="A6" s="8" t="s">
        <v>3</v>
      </c>
      <c r="B6" s="8"/>
      <c r="C6" s="8"/>
      <c r="D6" s="8"/>
      <c r="E6" s="8"/>
      <c r="F6" s="8"/>
      <c r="G6" s="8"/>
      <c r="H6" s="8"/>
    </row>
    <row r="7" spans="1:8" ht="21" customHeight="1" x14ac:dyDescent="0.3">
      <c r="A7" s="8"/>
      <c r="B7" s="8"/>
      <c r="C7" s="8"/>
      <c r="D7" s="8"/>
      <c r="E7" s="8"/>
      <c r="F7" s="8"/>
      <c r="G7" s="8"/>
      <c r="H7" s="8"/>
    </row>
    <row r="8" spans="1:8" ht="21" customHeight="1" x14ac:dyDescent="0.3">
      <c r="A8" s="8" t="s">
        <v>4</v>
      </c>
      <c r="B8" s="8"/>
      <c r="C8" s="8"/>
      <c r="D8" s="8"/>
      <c r="E8" s="8"/>
      <c r="F8" s="8"/>
      <c r="G8" s="8"/>
      <c r="H8" s="8"/>
    </row>
    <row r="9" spans="1:8" ht="21" customHeight="1" x14ac:dyDescent="0.3">
      <c r="A9" s="8"/>
      <c r="B9" s="8"/>
      <c r="C9" s="8"/>
      <c r="D9" s="8"/>
      <c r="E9" s="8"/>
      <c r="F9" s="8"/>
      <c r="G9" s="8"/>
      <c r="H9" s="8"/>
    </row>
    <row r="13" spans="1:8" ht="28.95" customHeight="1" x14ac:dyDescent="0.3">
      <c r="A13" s="9" t="s">
        <v>5</v>
      </c>
      <c r="B13" s="9"/>
      <c r="C13" s="9"/>
      <c r="D13" s="9"/>
      <c r="E13" s="9"/>
      <c r="F13" s="9"/>
      <c r="G13" s="9"/>
      <c r="H13" s="9"/>
    </row>
    <row r="15" spans="1:8" ht="21" customHeight="1" x14ac:dyDescent="0.4">
      <c r="A15" s="1" t="s">
        <v>6</v>
      </c>
      <c r="B15" s="2">
        <v>1000</v>
      </c>
      <c r="E15" s="1" t="s">
        <v>9</v>
      </c>
      <c r="F15" s="3">
        <f>RSSO(B15,B16,B17)</f>
        <v>2.1886804769052994</v>
      </c>
    </row>
    <row r="16" spans="1:8" ht="21" customHeight="1" x14ac:dyDescent="0.3">
      <c r="A16" s="1" t="s">
        <v>7</v>
      </c>
      <c r="B16" s="2">
        <v>1100</v>
      </c>
      <c r="E16" s="8" t="s">
        <v>10</v>
      </c>
      <c r="F16" s="8"/>
      <c r="G16" s="8"/>
      <c r="H16" s="8"/>
    </row>
    <row r="17" spans="1:8" ht="21" customHeight="1" x14ac:dyDescent="0.3">
      <c r="A17" s="1" t="s">
        <v>8</v>
      </c>
      <c r="B17" s="2">
        <v>30</v>
      </c>
      <c r="E17" s="8"/>
      <c r="F17" s="8"/>
      <c r="G17" s="8"/>
      <c r="H17" s="8"/>
    </row>
    <row r="19" spans="1:8" ht="21" customHeight="1" x14ac:dyDescent="0.3">
      <c r="A19" s="8" t="s">
        <v>11</v>
      </c>
      <c r="B19" s="8"/>
      <c r="C19" s="8"/>
      <c r="D19" s="8"/>
      <c r="E19" s="8"/>
      <c r="F19" s="8"/>
      <c r="G19" s="8"/>
      <c r="H19" s="8"/>
    </row>
    <row r="20" spans="1:8" ht="21" customHeight="1" x14ac:dyDescent="0.3">
      <c r="A20" s="8"/>
      <c r="B20" s="8"/>
      <c r="C20" s="8"/>
      <c r="D20" s="8"/>
      <c r="E20" s="8"/>
      <c r="F20" s="8"/>
      <c r="G20" s="8"/>
      <c r="H20" s="8"/>
    </row>
    <row r="23" spans="1:8" ht="28.95" customHeight="1" x14ac:dyDescent="0.3">
      <c r="A23" s="9" t="s">
        <v>12</v>
      </c>
      <c r="B23" s="9"/>
      <c r="C23" s="9"/>
      <c r="D23" s="9"/>
      <c r="E23" s="9"/>
      <c r="F23" s="9"/>
      <c r="G23" s="9"/>
      <c r="H23" s="9"/>
    </row>
    <row r="24" spans="1:8" ht="21" customHeight="1" x14ac:dyDescent="0.3">
      <c r="A24" s="4" t="s">
        <v>13</v>
      </c>
      <c r="B24" s="4" t="s">
        <v>14</v>
      </c>
      <c r="C24" s="4" t="s">
        <v>15</v>
      </c>
    </row>
    <row r="25" spans="1:8" ht="21" customHeight="1" x14ac:dyDescent="0.4">
      <c r="A25" s="5">
        <v>46023</v>
      </c>
      <c r="B25" s="6">
        <v>1000</v>
      </c>
      <c r="C25" s="1" t="s">
        <v>6</v>
      </c>
      <c r="E25" s="1" t="s">
        <v>9</v>
      </c>
      <c r="F25" s="3">
        <f>RSSO(B25:B26,A25:A26,,"365")</f>
        <v>0.10000000000003606</v>
      </c>
    </row>
    <row r="26" spans="1:8" ht="21" customHeight="1" x14ac:dyDescent="0.3">
      <c r="A26" s="5">
        <v>46388</v>
      </c>
      <c r="B26" s="6">
        <v>-1100</v>
      </c>
      <c r="C26" s="1" t="s">
        <v>16</v>
      </c>
      <c r="E26" s="8" t="s">
        <v>17</v>
      </c>
      <c r="F26" s="8"/>
      <c r="G26" s="8"/>
      <c r="H26" s="8"/>
    </row>
    <row r="27" spans="1:8" ht="21" customHeight="1" x14ac:dyDescent="0.3">
      <c r="E27" s="8"/>
      <c r="F27" s="8"/>
      <c r="G27" s="8"/>
      <c r="H27" s="8"/>
    </row>
    <row r="29" spans="1:8" ht="21" customHeight="1" x14ac:dyDescent="0.3">
      <c r="A29" s="8" t="s">
        <v>18</v>
      </c>
      <c r="B29" s="8"/>
      <c r="C29" s="8"/>
      <c r="D29" s="8"/>
      <c r="E29" s="8"/>
      <c r="F29" s="8"/>
      <c r="G29" s="8"/>
      <c r="H29" s="8"/>
    </row>
    <row r="30" spans="1:8" ht="21" customHeight="1" x14ac:dyDescent="0.3">
      <c r="A30" s="8"/>
      <c r="B30" s="8"/>
      <c r="C30" s="8"/>
      <c r="D30" s="8"/>
      <c r="E30" s="8"/>
      <c r="F30" s="8"/>
      <c r="G30" s="8"/>
      <c r="H30" s="8"/>
    </row>
    <row r="33" spans="1:8" ht="28.95" customHeight="1" x14ac:dyDescent="0.3">
      <c r="A33" s="9" t="s">
        <v>19</v>
      </c>
      <c r="B33" s="9"/>
      <c r="C33" s="9"/>
      <c r="D33" s="9"/>
      <c r="E33" s="9"/>
      <c r="F33" s="9"/>
      <c r="G33" s="9"/>
      <c r="H33" s="9"/>
    </row>
    <row r="34" spans="1:8" ht="21" customHeight="1" x14ac:dyDescent="0.3">
      <c r="A34" s="4" t="s">
        <v>13</v>
      </c>
      <c r="B34" s="4" t="s">
        <v>14</v>
      </c>
      <c r="C34" s="4" t="s">
        <v>15</v>
      </c>
    </row>
    <row r="35" spans="1:8" ht="21" customHeight="1" x14ac:dyDescent="0.4">
      <c r="A35" s="5">
        <v>46023</v>
      </c>
      <c r="B35" s="6">
        <v>1000</v>
      </c>
      <c r="C35" s="1" t="s">
        <v>20</v>
      </c>
      <c r="E35" s="1" t="s">
        <v>9</v>
      </c>
      <c r="F35" s="3">
        <f>RSSO(B35:B37,A35:A37,,"365")</f>
        <v>0.15789473684215727</v>
      </c>
    </row>
    <row r="36" spans="1:8" ht="21" customHeight="1" x14ac:dyDescent="0.3">
      <c r="A36" s="5">
        <v>46023</v>
      </c>
      <c r="B36" s="6">
        <v>-50</v>
      </c>
      <c r="C36" s="1" t="s">
        <v>21</v>
      </c>
      <c r="E36" s="8" t="s">
        <v>23</v>
      </c>
      <c r="F36" s="8"/>
      <c r="G36" s="8"/>
      <c r="H36" s="8"/>
    </row>
    <row r="37" spans="1:8" ht="21" customHeight="1" x14ac:dyDescent="0.3">
      <c r="A37" s="5">
        <v>46388</v>
      </c>
      <c r="B37" s="6">
        <v>-1100</v>
      </c>
      <c r="C37" s="1" t="s">
        <v>22</v>
      </c>
      <c r="E37" s="8"/>
      <c r="F37" s="8"/>
      <c r="G37" s="8"/>
      <c r="H37" s="8"/>
    </row>
    <row r="39" spans="1:8" ht="21" customHeight="1" x14ac:dyDescent="0.3">
      <c r="A39" s="8" t="s">
        <v>24</v>
      </c>
      <c r="B39" s="8"/>
      <c r="C39" s="8"/>
      <c r="D39" s="8"/>
      <c r="E39" s="8"/>
      <c r="F39" s="8"/>
      <c r="G39" s="8"/>
      <c r="H39" s="8"/>
    </row>
    <row r="40" spans="1:8" ht="21" customHeight="1" x14ac:dyDescent="0.3">
      <c r="A40" s="8"/>
      <c r="B40" s="8"/>
      <c r="C40" s="8"/>
      <c r="D40" s="8"/>
      <c r="E40" s="8"/>
      <c r="F40" s="8"/>
      <c r="G40" s="8"/>
      <c r="H40" s="8"/>
    </row>
    <row r="43" spans="1:8" ht="28.95" customHeight="1" x14ac:dyDescent="0.3">
      <c r="A43" s="9" t="s">
        <v>25</v>
      </c>
      <c r="B43" s="9"/>
      <c r="C43" s="9"/>
      <c r="D43" s="9"/>
      <c r="E43" s="9"/>
      <c r="F43" s="9"/>
      <c r="G43" s="9"/>
      <c r="H43" s="9"/>
    </row>
    <row r="44" spans="1:8" ht="21" customHeight="1" x14ac:dyDescent="0.3">
      <c r="A44" s="4" t="s">
        <v>13</v>
      </c>
      <c r="B44" s="4" t="s">
        <v>14</v>
      </c>
      <c r="C44" s="4" t="s">
        <v>15</v>
      </c>
    </row>
    <row r="45" spans="1:8" ht="21" customHeight="1" x14ac:dyDescent="0.4">
      <c r="A45" s="5">
        <v>46023</v>
      </c>
      <c r="B45" s="6">
        <v>1000</v>
      </c>
      <c r="C45" s="1" t="s">
        <v>6</v>
      </c>
      <c r="E45" s="1" t="s">
        <v>9</v>
      </c>
      <c r="F45" s="3">
        <f>RSSO(B45:B57,A45:A57,,"365")</f>
        <v>0.41513363011605775</v>
      </c>
    </row>
    <row r="46" spans="1:8" ht="21" customHeight="1" x14ac:dyDescent="0.3">
      <c r="A46" s="5">
        <v>46054</v>
      </c>
      <c r="B46" s="6">
        <v>-100</v>
      </c>
      <c r="C46" s="1" t="s">
        <v>26</v>
      </c>
      <c r="E46" s="8" t="s">
        <v>38</v>
      </c>
      <c r="F46" s="8"/>
      <c r="G46" s="8"/>
      <c r="H46" s="8"/>
    </row>
    <row r="47" spans="1:8" ht="21" customHeight="1" x14ac:dyDescent="0.3">
      <c r="A47" s="5">
        <v>46082</v>
      </c>
      <c r="B47" s="6">
        <v>-100</v>
      </c>
      <c r="C47" s="1" t="s">
        <v>27</v>
      </c>
      <c r="E47" s="8"/>
      <c r="F47" s="8"/>
      <c r="G47" s="8"/>
      <c r="H47" s="8"/>
    </row>
    <row r="48" spans="1:8" ht="21" customHeight="1" x14ac:dyDescent="0.3">
      <c r="A48" s="5">
        <v>46113</v>
      </c>
      <c r="B48" s="6">
        <v>-100</v>
      </c>
      <c r="C48" s="1" t="s">
        <v>28</v>
      </c>
    </row>
    <row r="49" spans="1:8" ht="21" customHeight="1" x14ac:dyDescent="0.3">
      <c r="A49" s="5">
        <v>46143</v>
      </c>
      <c r="B49" s="6">
        <v>-100</v>
      </c>
      <c r="C49" s="1" t="s">
        <v>29</v>
      </c>
    </row>
    <row r="50" spans="1:8" ht="21" customHeight="1" x14ac:dyDescent="0.4">
      <c r="A50" s="5">
        <v>46174</v>
      </c>
      <c r="B50" s="6">
        <v>-100</v>
      </c>
      <c r="C50" s="1" t="s">
        <v>30</v>
      </c>
      <c r="E50" s="1" t="s">
        <v>39</v>
      </c>
      <c r="F50" s="3">
        <f>XIRR(B45:B57,A45:A57)</f>
        <v>0.41513362526893616</v>
      </c>
    </row>
    <row r="51" spans="1:8" ht="21" customHeight="1" x14ac:dyDescent="0.3">
      <c r="A51" s="5">
        <v>46204</v>
      </c>
      <c r="B51" s="6">
        <v>-100</v>
      </c>
      <c r="C51" s="1" t="s">
        <v>31</v>
      </c>
      <c r="E51" s="8" t="s">
        <v>40</v>
      </c>
      <c r="F51" s="8"/>
      <c r="G51" s="8"/>
      <c r="H51" s="8"/>
    </row>
    <row r="52" spans="1:8" ht="21" customHeight="1" x14ac:dyDescent="0.3">
      <c r="A52" s="5">
        <v>46235</v>
      </c>
      <c r="B52" s="6">
        <v>-100</v>
      </c>
      <c r="C52" s="1" t="s">
        <v>32</v>
      </c>
      <c r="E52" s="8"/>
      <c r="F52" s="8"/>
      <c r="G52" s="8"/>
      <c r="H52" s="8"/>
    </row>
    <row r="53" spans="1:8" ht="21" customHeight="1" x14ac:dyDescent="0.3">
      <c r="A53" s="5">
        <v>46266</v>
      </c>
      <c r="B53" s="6">
        <v>-100</v>
      </c>
      <c r="C53" s="1" t="s">
        <v>33</v>
      </c>
    </row>
    <row r="54" spans="1:8" ht="21" customHeight="1" x14ac:dyDescent="0.3">
      <c r="A54" s="5">
        <v>46296</v>
      </c>
      <c r="B54" s="6">
        <v>-100</v>
      </c>
      <c r="C54" s="1" t="s">
        <v>34</v>
      </c>
      <c r="E54" s="8" t="s">
        <v>41</v>
      </c>
      <c r="F54" s="8"/>
      <c r="G54" s="8"/>
      <c r="H54" s="8"/>
    </row>
    <row r="55" spans="1:8" ht="21" customHeight="1" x14ac:dyDescent="0.3">
      <c r="A55" s="5">
        <v>46327</v>
      </c>
      <c r="B55" s="6">
        <v>-100</v>
      </c>
      <c r="C55" s="1" t="s">
        <v>35</v>
      </c>
      <c r="E55" s="8"/>
      <c r="F55" s="8"/>
      <c r="G55" s="8"/>
      <c r="H55" s="8"/>
    </row>
    <row r="56" spans="1:8" ht="21" customHeight="1" x14ac:dyDescent="0.3">
      <c r="A56" s="5">
        <v>46357</v>
      </c>
      <c r="B56" s="6">
        <v>-100</v>
      </c>
      <c r="C56" s="1" t="s">
        <v>36</v>
      </c>
      <c r="E56" s="8"/>
      <c r="F56" s="8"/>
      <c r="G56" s="8"/>
      <c r="H56" s="8"/>
    </row>
    <row r="57" spans="1:8" ht="21" customHeight="1" x14ac:dyDescent="0.3">
      <c r="A57" s="5">
        <v>46388</v>
      </c>
      <c r="B57" s="6">
        <v>-100</v>
      </c>
      <c r="C57" s="1" t="s">
        <v>37</v>
      </c>
      <c r="E57" s="8"/>
      <c r="F57" s="8"/>
      <c r="G57" s="8"/>
      <c r="H57" s="8"/>
    </row>
    <row r="59" spans="1:8" ht="21" customHeight="1" x14ac:dyDescent="0.3">
      <c r="A59" s="8" t="s">
        <v>42</v>
      </c>
      <c r="B59" s="8"/>
      <c r="C59" s="8"/>
      <c r="D59" s="8"/>
      <c r="E59" s="8"/>
      <c r="F59" s="8"/>
      <c r="G59" s="8"/>
      <c r="H59" s="8"/>
    </row>
    <row r="60" spans="1:8" ht="21" customHeight="1" x14ac:dyDescent="0.3">
      <c r="A60" s="8"/>
      <c r="B60" s="8"/>
      <c r="C60" s="8"/>
      <c r="D60" s="8"/>
      <c r="E60" s="8"/>
      <c r="F60" s="8"/>
      <c r="G60" s="8"/>
      <c r="H60" s="8"/>
    </row>
    <row r="63" spans="1:8" ht="28.95" customHeight="1" x14ac:dyDescent="0.3">
      <c r="A63" s="9" t="s">
        <v>43</v>
      </c>
      <c r="B63" s="9"/>
      <c r="C63" s="9"/>
      <c r="D63" s="9"/>
      <c r="E63" s="9"/>
      <c r="F63" s="9"/>
      <c r="G63" s="9"/>
      <c r="H63" s="9"/>
    </row>
    <row r="64" spans="1:8" ht="21" customHeight="1" x14ac:dyDescent="0.3">
      <c r="A64" s="4" t="s">
        <v>13</v>
      </c>
      <c r="B64" s="4" t="s">
        <v>14</v>
      </c>
      <c r="C64" s="4" t="s">
        <v>15</v>
      </c>
    </row>
    <row r="65" spans="1:8" ht="21" customHeight="1" x14ac:dyDescent="0.4">
      <c r="A65" s="5">
        <v>46023</v>
      </c>
      <c r="B65" s="6">
        <v>600</v>
      </c>
      <c r="C65" s="1" t="s">
        <v>44</v>
      </c>
      <c r="E65" s="1" t="s">
        <v>9</v>
      </c>
      <c r="F65" s="3">
        <f>RSSO(B65:B68,A65:A68,"365")</f>
        <v>0.13978086891316499</v>
      </c>
    </row>
    <row r="66" spans="1:8" ht="21" customHeight="1" x14ac:dyDescent="0.3">
      <c r="A66" s="5">
        <v>46037</v>
      </c>
      <c r="B66" s="6">
        <v>400</v>
      </c>
      <c r="C66" s="1" t="s">
        <v>45</v>
      </c>
      <c r="E66" s="8" t="s">
        <v>47</v>
      </c>
      <c r="F66" s="8"/>
      <c r="G66" s="8"/>
      <c r="H66" s="8"/>
    </row>
    <row r="67" spans="1:8" ht="21" customHeight="1" x14ac:dyDescent="0.3">
      <c r="A67" s="5">
        <v>46204</v>
      </c>
      <c r="B67" s="6">
        <v>-550</v>
      </c>
      <c r="C67" s="1" t="s">
        <v>46</v>
      </c>
      <c r="E67" s="8"/>
      <c r="F67" s="8"/>
      <c r="G67" s="8"/>
      <c r="H67" s="8"/>
    </row>
    <row r="68" spans="1:8" ht="21" customHeight="1" x14ac:dyDescent="0.3">
      <c r="A68" s="5">
        <v>46388</v>
      </c>
      <c r="B68" s="6">
        <v>-550</v>
      </c>
      <c r="C68" s="1" t="s">
        <v>22</v>
      </c>
    </row>
    <row r="70" spans="1:8" ht="21" customHeight="1" x14ac:dyDescent="0.3">
      <c r="A70" s="8" t="s">
        <v>48</v>
      </c>
      <c r="B70" s="8"/>
      <c r="C70" s="8"/>
      <c r="D70" s="8"/>
      <c r="E70" s="8"/>
      <c r="F70" s="8"/>
      <c r="G70" s="8"/>
      <c r="H70" s="8"/>
    </row>
    <row r="71" spans="1:8" ht="21" customHeight="1" x14ac:dyDescent="0.3">
      <c r="A71" s="8"/>
      <c r="B71" s="8"/>
      <c r="C71" s="8"/>
      <c r="D71" s="8"/>
      <c r="E71" s="8"/>
      <c r="F71" s="8"/>
      <c r="G71" s="8"/>
      <c r="H71" s="8"/>
    </row>
    <row r="74" spans="1:8" ht="28.95" customHeight="1" x14ac:dyDescent="0.3">
      <c r="A74" s="9" t="s">
        <v>49</v>
      </c>
      <c r="B74" s="9"/>
      <c r="C74" s="9"/>
      <c r="D74" s="9"/>
      <c r="E74" s="9"/>
      <c r="F74" s="9"/>
      <c r="G74" s="9"/>
      <c r="H74" s="9"/>
    </row>
    <row r="76" spans="1:8" ht="21" customHeight="1" x14ac:dyDescent="0.3">
      <c r="A76" s="4" t="s">
        <v>13</v>
      </c>
      <c r="B76" s="4" t="s">
        <v>14</v>
      </c>
      <c r="C76" s="4" t="s">
        <v>15</v>
      </c>
    </row>
    <row r="77" spans="1:8" ht="21" customHeight="1" x14ac:dyDescent="0.4">
      <c r="A77" s="5">
        <v>45292</v>
      </c>
      <c r="B77" s="6">
        <v>1000</v>
      </c>
      <c r="C77" s="1" t="s">
        <v>6</v>
      </c>
      <c r="E77" s="1" t="s">
        <v>51</v>
      </c>
      <c r="F77" s="3">
        <f>RSSO(B77:B78,A77:A78,,"ACT/ACT")</f>
        <v>0.10000000000003606</v>
      </c>
    </row>
    <row r="78" spans="1:8" ht="21" customHeight="1" x14ac:dyDescent="0.3">
      <c r="A78" s="5">
        <v>45658</v>
      </c>
      <c r="B78" s="6">
        <v>-1100</v>
      </c>
      <c r="C78" s="1" t="s">
        <v>50</v>
      </c>
      <c r="E78" s="8" t="s">
        <v>52</v>
      </c>
      <c r="F78" s="8"/>
      <c r="G78" s="8"/>
      <c r="H78" s="8"/>
    </row>
    <row r="79" spans="1:8" ht="21" customHeight="1" x14ac:dyDescent="0.3">
      <c r="E79" s="8"/>
      <c r="F79" s="8"/>
      <c r="G79" s="8"/>
      <c r="H79" s="8"/>
    </row>
    <row r="81" spans="1:8" ht="21" customHeight="1" x14ac:dyDescent="0.4">
      <c r="A81" s="8" t="s">
        <v>55</v>
      </c>
      <c r="B81" s="8"/>
      <c r="C81" s="8"/>
      <c r="E81" s="1" t="s">
        <v>53</v>
      </c>
      <c r="F81" s="3">
        <f>RSSO(B77:B78,A77:A78,,"365")</f>
        <v>9.9713585934199322E-2</v>
      </c>
    </row>
    <row r="82" spans="1:8" ht="21" customHeight="1" x14ac:dyDescent="0.3">
      <c r="A82" s="8"/>
      <c r="B82" s="8"/>
      <c r="C82" s="8"/>
      <c r="E82" s="8" t="s">
        <v>54</v>
      </c>
      <c r="F82" s="8"/>
      <c r="G82" s="8"/>
      <c r="H82" s="8"/>
    </row>
    <row r="83" spans="1:8" ht="21" customHeight="1" x14ac:dyDescent="0.3">
      <c r="A83" s="8"/>
      <c r="B83" s="8"/>
      <c r="C83" s="8"/>
      <c r="E83" s="8"/>
      <c r="F83" s="8"/>
      <c r="G83" s="8"/>
      <c r="H83" s="8"/>
    </row>
    <row r="84" spans="1:8" ht="21" customHeight="1" x14ac:dyDescent="0.3">
      <c r="A84" s="8"/>
      <c r="B84" s="8"/>
      <c r="C84" s="8"/>
    </row>
    <row r="87" spans="1:8" ht="28.95" customHeight="1" x14ac:dyDescent="0.3">
      <c r="A87" s="9" t="s">
        <v>56</v>
      </c>
      <c r="B87" s="9"/>
      <c r="C87" s="9"/>
      <c r="D87" s="9"/>
      <c r="E87" s="9"/>
      <c r="F87" s="9"/>
      <c r="G87" s="9"/>
      <c r="H87" s="9"/>
    </row>
    <row r="88" spans="1:8" ht="21" customHeight="1" x14ac:dyDescent="0.3">
      <c r="A88" s="4" t="s">
        <v>13</v>
      </c>
      <c r="B88" s="4" t="s">
        <v>14</v>
      </c>
      <c r="C88" s="4" t="s">
        <v>15</v>
      </c>
    </row>
    <row r="89" spans="1:8" ht="21" customHeight="1" x14ac:dyDescent="0.4">
      <c r="A89" s="5">
        <v>46023</v>
      </c>
      <c r="B89" s="6">
        <v>1000</v>
      </c>
      <c r="C89" s="1" t="s">
        <v>6</v>
      </c>
      <c r="E89" s="1" t="s">
        <v>9</v>
      </c>
      <c r="F89" s="3">
        <f>RSSO(B89:B90,A89:A90)</f>
        <v>0</v>
      </c>
    </row>
    <row r="90" spans="1:8" ht="21" customHeight="1" x14ac:dyDescent="0.3">
      <c r="A90" s="5">
        <v>46388</v>
      </c>
      <c r="B90" s="6">
        <v>-1000</v>
      </c>
      <c r="C90" s="1" t="s">
        <v>57</v>
      </c>
      <c r="E90" s="8" t="s">
        <v>58</v>
      </c>
      <c r="F90" s="8"/>
      <c r="G90" s="8"/>
      <c r="H90" s="8"/>
    </row>
    <row r="91" spans="1:8" ht="21" customHeight="1" x14ac:dyDescent="0.3">
      <c r="E91" s="8"/>
      <c r="F91" s="8"/>
      <c r="G91" s="8"/>
      <c r="H91" s="8"/>
    </row>
    <row r="93" spans="1:8" ht="21" customHeight="1" x14ac:dyDescent="0.3">
      <c r="A93" s="8" t="s">
        <v>59</v>
      </c>
      <c r="B93" s="8"/>
      <c r="C93" s="8"/>
      <c r="D93" s="8"/>
      <c r="E93" s="8"/>
      <c r="F93" s="8"/>
      <c r="G93" s="8"/>
      <c r="H93" s="8"/>
    </row>
    <row r="94" spans="1:8" ht="21" customHeight="1" x14ac:dyDescent="0.3">
      <c r="A94" s="8"/>
      <c r="B94" s="8"/>
      <c r="C94" s="8"/>
      <c r="D94" s="8"/>
      <c r="E94" s="8"/>
      <c r="F94" s="8"/>
      <c r="G94" s="8"/>
      <c r="H94" s="8"/>
    </row>
    <row r="97" spans="1:8" ht="28.95" customHeight="1" x14ac:dyDescent="0.3">
      <c r="A97" s="9" t="s">
        <v>60</v>
      </c>
      <c r="B97" s="9"/>
      <c r="C97" s="9"/>
      <c r="D97" s="9"/>
      <c r="E97" s="9"/>
      <c r="F97" s="9"/>
      <c r="G97" s="9"/>
      <c r="H97" s="9"/>
    </row>
    <row r="98" spans="1:8" ht="21" customHeight="1" x14ac:dyDescent="0.3">
      <c r="A98" s="4" t="s">
        <v>13</v>
      </c>
      <c r="B98" s="4" t="s">
        <v>14</v>
      </c>
      <c r="C98" s="4" t="s">
        <v>15</v>
      </c>
    </row>
    <row r="99" spans="1:8" ht="21" customHeight="1" x14ac:dyDescent="0.4">
      <c r="A99" s="5">
        <v>46023</v>
      </c>
      <c r="B99" s="6">
        <v>1000</v>
      </c>
      <c r="C99" s="1" t="s">
        <v>6</v>
      </c>
      <c r="E99" s="1" t="s">
        <v>9</v>
      </c>
      <c r="F99" s="3">
        <f>RSSO(B99:B100,A99:A100,,"365")</f>
        <v>-0.10000000000004683</v>
      </c>
    </row>
    <row r="100" spans="1:8" ht="21" customHeight="1" x14ac:dyDescent="0.3">
      <c r="A100" s="5">
        <v>46388</v>
      </c>
      <c r="B100" s="6">
        <v>-900</v>
      </c>
      <c r="C100" s="1" t="s">
        <v>61</v>
      </c>
      <c r="E100" s="8" t="s">
        <v>62</v>
      </c>
      <c r="F100" s="8"/>
      <c r="G100" s="8"/>
      <c r="H100" s="8"/>
    </row>
    <row r="101" spans="1:8" ht="21" customHeight="1" x14ac:dyDescent="0.3">
      <c r="E101" s="8"/>
      <c r="F101" s="8"/>
      <c r="G101" s="8"/>
      <c r="H101" s="8"/>
    </row>
    <row r="103" spans="1:8" ht="21" customHeight="1" x14ac:dyDescent="0.3">
      <c r="A103" s="8" t="s">
        <v>63</v>
      </c>
      <c r="B103" s="8"/>
      <c r="C103" s="8"/>
      <c r="D103" s="8"/>
      <c r="E103" s="8"/>
      <c r="F103" s="8"/>
      <c r="G103" s="8"/>
      <c r="H103" s="8"/>
    </row>
    <row r="104" spans="1:8" ht="21" customHeight="1" x14ac:dyDescent="0.3">
      <c r="A104" s="8"/>
      <c r="B104" s="8"/>
      <c r="C104" s="8"/>
      <c r="D104" s="8"/>
      <c r="E104" s="8"/>
      <c r="F104" s="8"/>
      <c r="G104" s="8"/>
      <c r="H104" s="8"/>
    </row>
    <row r="107" spans="1:8" ht="28.95" customHeight="1" x14ac:dyDescent="0.3">
      <c r="A107" s="9" t="s">
        <v>64</v>
      </c>
      <c r="B107" s="9"/>
      <c r="C107" s="9"/>
      <c r="D107" s="9"/>
      <c r="E107" s="9"/>
      <c r="F107" s="9"/>
      <c r="G107" s="9"/>
      <c r="H107" s="9"/>
    </row>
    <row r="109" spans="1:8" ht="21" customHeight="1" x14ac:dyDescent="0.3">
      <c r="A109" s="7" t="s">
        <v>65</v>
      </c>
      <c r="B109" s="7"/>
      <c r="C109" s="8" t="s">
        <v>66</v>
      </c>
      <c r="D109" s="8"/>
      <c r="E109" s="8"/>
      <c r="F109" s="8"/>
      <c r="G109" s="8"/>
      <c r="H109" s="8"/>
    </row>
    <row r="110" spans="1:8" ht="21" customHeight="1" x14ac:dyDescent="0.3">
      <c r="A110" s="7"/>
      <c r="B110" s="7"/>
      <c r="C110" s="8"/>
      <c r="D110" s="8"/>
      <c r="E110" s="8"/>
      <c r="F110" s="8"/>
      <c r="G110" s="8"/>
      <c r="H110" s="8"/>
    </row>
    <row r="112" spans="1:8" ht="21" customHeight="1" x14ac:dyDescent="0.3">
      <c r="A112" s="7" t="s">
        <v>67</v>
      </c>
      <c r="B112" s="7"/>
      <c r="C112" s="8" t="s">
        <v>68</v>
      </c>
      <c r="D112" s="8"/>
      <c r="E112" s="8"/>
      <c r="F112" s="8"/>
      <c r="G112" s="8"/>
      <c r="H112" s="8"/>
    </row>
    <row r="113" spans="1:8" ht="21" customHeight="1" x14ac:dyDescent="0.3">
      <c r="A113" s="7"/>
      <c r="B113" s="7"/>
      <c r="C113" s="8"/>
      <c r="D113" s="8"/>
      <c r="E113" s="8"/>
      <c r="F113" s="8"/>
      <c r="G113" s="8"/>
      <c r="H113" s="8"/>
    </row>
    <row r="115" spans="1:8" ht="21" customHeight="1" x14ac:dyDescent="0.3">
      <c r="A115" s="7" t="s">
        <v>69</v>
      </c>
      <c r="B115" s="7"/>
      <c r="C115" s="8" t="s">
        <v>70</v>
      </c>
      <c r="D115" s="8"/>
      <c r="E115" s="8"/>
      <c r="F115" s="8"/>
      <c r="G115" s="8"/>
      <c r="H115" s="8"/>
    </row>
    <row r="116" spans="1:8" ht="21" customHeight="1" x14ac:dyDescent="0.3">
      <c r="A116" s="7"/>
      <c r="B116" s="7"/>
      <c r="C116" s="8"/>
      <c r="D116" s="8"/>
      <c r="E116" s="8"/>
      <c r="F116" s="8"/>
      <c r="G116" s="8"/>
      <c r="H116" s="8"/>
    </row>
    <row r="118" spans="1:8" ht="21" customHeight="1" x14ac:dyDescent="0.3">
      <c r="A118" s="7" t="s">
        <v>71</v>
      </c>
      <c r="B118" s="7"/>
      <c r="C118" s="8" t="s">
        <v>72</v>
      </c>
      <c r="D118" s="8"/>
      <c r="E118" s="8"/>
      <c r="F118" s="8"/>
      <c r="G118" s="8"/>
      <c r="H118" s="8"/>
    </row>
    <row r="119" spans="1:8" ht="21" customHeight="1" x14ac:dyDescent="0.3">
      <c r="A119" s="7"/>
      <c r="B119" s="7"/>
      <c r="C119" s="8"/>
      <c r="D119" s="8"/>
      <c r="E119" s="8"/>
      <c r="F119" s="8"/>
      <c r="G119" s="8"/>
      <c r="H119" s="8"/>
    </row>
    <row r="121" spans="1:8" ht="21" customHeight="1" x14ac:dyDescent="0.3">
      <c r="A121" s="7" t="s">
        <v>73</v>
      </c>
      <c r="B121" s="7"/>
      <c r="C121" s="8" t="s">
        <v>74</v>
      </c>
      <c r="D121" s="8"/>
      <c r="E121" s="8"/>
      <c r="F121" s="8"/>
      <c r="G121" s="8"/>
      <c r="H121" s="8"/>
    </row>
    <row r="122" spans="1:8" ht="21" customHeight="1" x14ac:dyDescent="0.3">
      <c r="A122" s="7"/>
      <c r="B122" s="7"/>
      <c r="C122" s="8"/>
      <c r="D122" s="8"/>
      <c r="E122" s="8"/>
      <c r="F122" s="8"/>
      <c r="G122" s="8"/>
      <c r="H122" s="8"/>
    </row>
    <row r="124" spans="1:8" ht="21" customHeight="1" x14ac:dyDescent="0.3">
      <c r="A124" s="7" t="s">
        <v>75</v>
      </c>
      <c r="B124" s="7"/>
      <c r="C124" s="8" t="s">
        <v>76</v>
      </c>
      <c r="D124" s="8"/>
      <c r="E124" s="8"/>
      <c r="F124" s="8"/>
      <c r="G124" s="8"/>
      <c r="H124" s="8"/>
    </row>
    <row r="125" spans="1:8" ht="21" customHeight="1" x14ac:dyDescent="0.3">
      <c r="A125" s="7"/>
      <c r="B125" s="7"/>
      <c r="C125" s="8"/>
      <c r="D125" s="8"/>
      <c r="E125" s="8"/>
      <c r="F125" s="8"/>
      <c r="G125" s="8"/>
      <c r="H125" s="8"/>
    </row>
    <row r="127" spans="1:8" ht="21" customHeight="1" x14ac:dyDescent="0.3">
      <c r="A127" s="7" t="s">
        <v>77</v>
      </c>
      <c r="B127" s="7"/>
      <c r="C127" s="8" t="s">
        <v>78</v>
      </c>
      <c r="D127" s="8"/>
      <c r="E127" s="8"/>
      <c r="F127" s="8"/>
      <c r="G127" s="8"/>
      <c r="H127" s="8"/>
    </row>
    <row r="128" spans="1:8" ht="21" customHeight="1" x14ac:dyDescent="0.3">
      <c r="A128" s="7"/>
      <c r="B128" s="7"/>
      <c r="C128" s="8"/>
      <c r="D128" s="8"/>
      <c r="E128" s="8"/>
      <c r="F128" s="8"/>
      <c r="G128" s="8"/>
      <c r="H128" s="8"/>
    </row>
  </sheetData>
  <mergeCells count="47">
    <mergeCell ref="A33:H33"/>
    <mergeCell ref="A1:H2"/>
    <mergeCell ref="A3:H3"/>
    <mergeCell ref="A4:H5"/>
    <mergeCell ref="A6:H7"/>
    <mergeCell ref="A8:H9"/>
    <mergeCell ref="A13:H13"/>
    <mergeCell ref="E16:H17"/>
    <mergeCell ref="A19:H20"/>
    <mergeCell ref="A23:H23"/>
    <mergeCell ref="E26:H27"/>
    <mergeCell ref="A29:H30"/>
    <mergeCell ref="E78:H79"/>
    <mergeCell ref="E36:H37"/>
    <mergeCell ref="A39:H40"/>
    <mergeCell ref="A43:H43"/>
    <mergeCell ref="E46:H47"/>
    <mergeCell ref="E51:H52"/>
    <mergeCell ref="E54:H57"/>
    <mergeCell ref="A59:H60"/>
    <mergeCell ref="A63:H63"/>
    <mergeCell ref="E66:H67"/>
    <mergeCell ref="A70:H71"/>
    <mergeCell ref="A74:H74"/>
    <mergeCell ref="A112:B113"/>
    <mergeCell ref="C112:H113"/>
    <mergeCell ref="E82:H83"/>
    <mergeCell ref="A81:C84"/>
    <mergeCell ref="A87:H87"/>
    <mergeCell ref="E90:H91"/>
    <mergeCell ref="A93:H94"/>
    <mergeCell ref="A97:H97"/>
    <mergeCell ref="E100:H101"/>
    <mergeCell ref="A103:H104"/>
    <mergeCell ref="A107:H107"/>
    <mergeCell ref="A109:B110"/>
    <mergeCell ref="C109:H110"/>
    <mergeCell ref="A124:B125"/>
    <mergeCell ref="C124:H125"/>
    <mergeCell ref="A127:B128"/>
    <mergeCell ref="C127:H128"/>
    <mergeCell ref="A115:B116"/>
    <mergeCell ref="C115:H116"/>
    <mergeCell ref="A118:B119"/>
    <mergeCell ref="C118:H119"/>
    <mergeCell ref="A121:B122"/>
    <mergeCell ref="C121:H122"/>
  </mergeCells>
  <pageMargins left="0.7" right="0.7" top="0.75" bottom="0.75" header="0.3" footer="0.3"/>
  <pageSetup fitToHeight="0" orientation="landscape"/>
  <drawing r:id="rId2"/>
  <legacy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IntelliSense xmlns="http://schemas.excel-dna.net/intellisense/1.0">
  <FunctionInfo>
    <Function Name="RSSO" Description="Annual effective loan rate. Simple: RSSO(loan,total,days). Dated: RSSO(flows,dates,,basis). Format result as %.">
      <Argument Name="LoanOrCashFlows" Description="Positive loan amount, or cash-flow range. Customer receipts +; payments and fees -."/>
      <Argument Name="TotalDueOrDates" Description="Total repayment, or matching range of real Excel dates."/>
      <Argument Name="[Days]" Description="Positive whole days for a simple loan. Omit for dated cash flows; a text basis is also accepted."/>
      <Argument Name="[Basis]" Description="365, 366, ACT/ACT or LEGAL. Default LEGAL = calendar ACT/ACT; simple default = 365."/>
    </Function>
  </FunctionInfo>
</IntelliSense>
</file>

<file path=customXml/itemProps1.xml><?xml version="1.0" encoding="utf-8"?>
<ds:datastoreItem xmlns:ds="http://schemas.openxmlformats.org/officeDocument/2006/customXml" ds:itemID="{7A46AC43-1FAA-4F67-920B-ED7732C91CC0}">
  <ds:schemaRefs>
    <ds:schemaRef ds:uri="http://schemas.excel-dna.net/intellisense/1.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1</vt:i4>
      </vt:variant>
    </vt:vector>
  </HeadingPairs>
  <TitlesOfParts>
    <vt:vector size="2" baseType="lpstr">
      <vt:lpstr>Examples</vt:lpstr>
      <vt:lpstr>Examples!Print_Area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dc:title>RSSO loan rate examples</dc:title>
  <dc:creator>RSSO contributors</dc:creator>
  <cp:lastModifiedBy>RSSO contributors</cp:lastModifiedBy>
</cp:coreProperties>
</file>